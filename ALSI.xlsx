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ro\PycharmProjects\PyExel\"/>
    </mc:Choice>
  </mc:AlternateContent>
  <xr:revisionPtr revIDLastSave="0" documentId="13_ncr:1_{5C8DB37D-C8FC-4C0D-BA0B-099D2FE9EBA3}" xr6:coauthVersionLast="47" xr6:coauthVersionMax="47" xr10:uidLastSave="{00000000-0000-0000-0000-000000000000}"/>
  <bookViews>
    <workbookView xWindow="1440" yWindow="1188" windowWidth="21600" windowHeight="11772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G11" i="1"/>
  <c r="E11" i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H11" i="1" l="1"/>
</calcChain>
</file>

<file path=xl/sharedStrings.xml><?xml version="1.0" encoding="utf-8"?>
<sst xmlns="http://schemas.openxmlformats.org/spreadsheetml/2006/main" count="31" uniqueCount="26">
  <si>
    <t>Наименование препарата</t>
  </si>
  <si>
    <t>Ед.изм.</t>
  </si>
  <si>
    <t>Кол-во</t>
  </si>
  <si>
    <t>Цена за единицу сум</t>
  </si>
  <si>
    <t>ИТОГО:</t>
  </si>
  <si>
    <t>уп</t>
  </si>
  <si>
    <t>Toshkent shahri, Uchtepa tumani. Shirin ko‘chasi, 44Б-uy</t>
  </si>
  <si>
    <t xml:space="preserve">№ </t>
  </si>
  <si>
    <t xml:space="preserve">Стоимость поставки с НДС </t>
  </si>
  <si>
    <t xml:space="preserve">  </t>
  </si>
  <si>
    <r>
      <t xml:space="preserve">GEPO-7  </t>
    </r>
    <r>
      <rPr>
        <i/>
        <sz val="12"/>
        <color theme="1"/>
        <rFont val="Times New Roman"/>
        <family val="1"/>
        <charset val="204"/>
      </rPr>
      <t>№ 40</t>
    </r>
    <r>
      <rPr>
        <b/>
        <i/>
        <sz val="12"/>
        <color theme="1"/>
        <rFont val="Times New Roman"/>
        <family val="1"/>
        <charset val="204"/>
      </rPr>
      <t xml:space="preserve"> (UDXK (ursodezoksixol kislotasi) 100 mg; pol-pola ekstrakti 100 mg; silimarin 50 mg; L-glutamin 50 mg; L-sistein 50 mg L-glisin 50 mg. )</t>
    </r>
  </si>
  <si>
    <r>
      <t xml:space="preserve">GLIAL-MG   </t>
    </r>
    <r>
      <rPr>
        <i/>
        <sz val="12"/>
        <color theme="1"/>
        <rFont val="Times New Roman"/>
        <family val="1"/>
        <charset val="204"/>
      </rPr>
      <t xml:space="preserve">№ 20 </t>
    </r>
    <r>
      <rPr>
        <b/>
        <i/>
        <sz val="12"/>
        <color theme="1"/>
        <rFont val="Times New Roman"/>
        <family val="1"/>
        <charset val="204"/>
      </rPr>
      <t xml:space="preserve">( magniy L-treonat 100 mg; GAMK (gamma-amino moy kislota) 100 mg; melatonin 5 mg; vitamin B6 1,5 mg. </t>
    </r>
  </si>
  <si>
    <r>
      <t xml:space="preserve">FERR-26 </t>
    </r>
    <r>
      <rPr>
        <i/>
        <sz val="12"/>
        <color theme="1"/>
        <rFont val="Times New Roman"/>
        <family val="1"/>
        <charset val="204"/>
      </rPr>
      <t>№ 30</t>
    </r>
    <r>
      <rPr>
        <b/>
        <i/>
        <sz val="12"/>
        <color theme="1"/>
        <rFont val="Times New Roman"/>
        <family val="1"/>
        <charset val="204"/>
      </rPr>
      <t xml:space="preserve">  (Temir-2 fumarat 100 mg; glisin 100 mg; vitamin C 100 mg; vitamin B2 1,5 mg; vitamin B6 1,5 mg. )</t>
    </r>
  </si>
  <si>
    <t>COR-Z   №60                                          (Omega 3, Q10, Vitamin E, Vitamin D3, K2)</t>
  </si>
  <si>
    <t>MCHJ " ALSI  FARM "</t>
  </si>
  <si>
    <t>INN: 311 856 051</t>
  </si>
  <si>
    <t>OKED: 46390</t>
  </si>
  <si>
    <r>
      <t>Telefon</t>
    </r>
    <r>
      <rPr>
        <sz val="10"/>
        <color theme="1"/>
        <rFont val="Times New Roman"/>
        <family val="1"/>
        <charset val="204"/>
      </rPr>
      <t xml:space="preserve">.: </t>
    </r>
    <r>
      <rPr>
        <b/>
        <sz val="10"/>
        <color theme="1"/>
        <rFont val="Times New Roman"/>
        <family val="1"/>
        <charset val="204"/>
      </rPr>
      <t>Raxbar :</t>
    </r>
    <r>
      <rPr>
        <sz val="10"/>
        <color theme="1"/>
        <rFont val="Times New Roman"/>
        <family val="1"/>
        <charset val="204"/>
      </rPr>
      <t xml:space="preserve">(97) 000 03 89      </t>
    </r>
  </si>
  <si>
    <r>
      <t xml:space="preserve"> </t>
    </r>
    <r>
      <rPr>
        <b/>
        <sz val="10"/>
        <color theme="1"/>
        <rFont val="Times New Roman"/>
        <family val="1"/>
        <charset val="204"/>
      </rPr>
      <t>Buxgalteriya</t>
    </r>
    <r>
      <rPr>
        <sz val="10"/>
        <color theme="1"/>
        <rFont val="Times New Roman"/>
        <family val="1"/>
        <charset val="204"/>
      </rPr>
      <t>: (95) 240-19-14</t>
    </r>
  </si>
  <si>
    <t>SINORIN KIDS 15 ml</t>
  </si>
  <si>
    <t>SINORIN 20 ml</t>
  </si>
  <si>
    <t>НДС 12%</t>
  </si>
  <si>
    <t>H/r: 20208000407194943001</t>
  </si>
  <si>
    <t>УзСКБ Ал-Хоразмий БХМ</t>
  </si>
  <si>
    <t>MFO: 00440</t>
  </si>
  <si>
    <t xml:space="preserve">СПЕЦИФИКАЦИЯ 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</si>
</sst>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_-* #,##0_р_._-;\-* #,##0_р_._-;_-* &quot;-&quot;??_р_.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center" vertical="top" wrapText="1"/>
    </xf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2" fillId="0" borderId="0" xfId="0" applyNumberFormat="1" applyFont="1"/>
    <xf numFmtId="0" fontId="7" fillId="0" borderId="0" xfId="0" applyFont="1"/>
    <xf numFmtId="0" fontId="6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vertical="top" wrapText="1"/>
    </xf>
    <xf numFmtId="2" fontId="2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165" fontId="3" fillId="0" borderId="1" xfId="1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164" fontId="2" fillId="0" borderId="1" xfId="1" applyFont="1" applyBorder="1" applyAlignment="1">
      <alignment horizontal="center" vertical="center" wrapText="1"/>
    </xf>
    <xf numFmtId="2" fontId="2" fillId="0" borderId="1" xfId="3" applyNumberFormat="1" applyFont="1" applyBorder="1" applyAlignment="1">
      <alignment horizontal="center" vertical="center" wrapText="1"/>
    </xf>
    <xf numFmtId="164" fontId="3" fillId="0" borderId="1" xfId="1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3" fillId="0" borderId="0" xfId="0" applyFont="1" applyAlignment="1"/>
    <xf numFmtId="0" fontId="2" fillId="0" borderId="0" xfId="0" applyFont="1" applyAlignment="1"/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top" wrapText="1"/>
    </xf>
  </cellXfs>
  <cellStyles count="4">
    <cellStyle name="Comma" xfId="1" builtinId="3"/>
    <cellStyle name="Normal" xfId="0" builtinId="0"/>
    <cellStyle name="Percent" xfId="3" builtinId="5"/>
    <cellStyle name="Финансовый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4" workbookViewId="0">
      <selection activeCell="I4" sqref="I1:I1048576"/>
    </sheetView>
  </sheetViews>
  <sheetFormatPr defaultRowHeight="14.4" x14ac:dyDescent="0.3"/>
  <cols>
    <col min="1" max="1" width="9.109375" style="3"/>
    <col min="2" max="2" width="7.33203125" style="22" customWidth="1"/>
    <col min="3" max="3" width="42.33203125" style="3" customWidth="1"/>
    <col min="4" max="4" width="9.6640625" style="3" customWidth="1"/>
    <col min="5" max="5" width="11.33203125" style="3" customWidth="1"/>
    <col min="6" max="8" width="15.77734375" style="3" customWidth="1"/>
    <col min="12" max="12" width="9.109375" customWidth="1"/>
    <col min="15" max="17" width="9.109375" customWidth="1"/>
  </cols>
  <sheetData>
    <row r="1" spans="2:8" ht="16.2" x14ac:dyDescent="0.35">
      <c r="B1" s="20"/>
      <c r="C1" s="4"/>
      <c r="D1" s="4"/>
      <c r="E1" s="4"/>
      <c r="F1" s="4"/>
      <c r="G1" s="4"/>
    </row>
    <row r="2" spans="2:8" ht="16.2" x14ac:dyDescent="0.35">
      <c r="B2" s="20"/>
      <c r="C2" s="4"/>
      <c r="D2" s="4"/>
      <c r="E2" s="33" t="s">
        <v>25</v>
      </c>
      <c r="F2" s="33"/>
      <c r="G2" s="33"/>
    </row>
    <row r="3" spans="2:8" ht="16.2" x14ac:dyDescent="0.35">
      <c r="B3" s="20"/>
      <c r="C3" s="4"/>
      <c r="D3" s="4"/>
      <c r="E3" s="34"/>
      <c r="F3" s="34"/>
      <c r="G3" s="34"/>
    </row>
    <row r="4" spans="2:8" ht="48.6" x14ac:dyDescent="0.3">
      <c r="B4" s="6" t="s">
        <v>7</v>
      </c>
      <c r="C4" s="6" t="s">
        <v>0</v>
      </c>
      <c r="D4" s="6" t="s">
        <v>1</v>
      </c>
      <c r="E4" s="6" t="s">
        <v>2</v>
      </c>
      <c r="F4" s="6" t="s">
        <v>3</v>
      </c>
      <c r="G4" s="6" t="s">
        <v>21</v>
      </c>
      <c r="H4" s="6" t="s">
        <v>8</v>
      </c>
    </row>
    <row r="5" spans="2:8" s="3" customFormat="1" ht="64.8" x14ac:dyDescent="0.3">
      <c r="B5" s="6">
        <v>1</v>
      </c>
      <c r="C5" s="23" t="s">
        <v>10</v>
      </c>
      <c r="D5" s="5" t="s">
        <v>5</v>
      </c>
      <c r="E5" s="16">
        <v>1</v>
      </c>
      <c r="F5" s="24">
        <v>134000</v>
      </c>
      <c r="G5" s="25">
        <f t="shared" ref="G5:G10" si="0">E5*F5*12%</f>
        <v>16080</v>
      </c>
      <c r="H5" s="14">
        <f t="shared" ref="H5:H10" si="1">E5*F5+G5</f>
        <v>150080</v>
      </c>
    </row>
    <row r="6" spans="2:8" s="3" customFormat="1" ht="64.8" x14ac:dyDescent="0.3">
      <c r="B6" s="6">
        <v>2</v>
      </c>
      <c r="C6" s="23" t="s">
        <v>11</v>
      </c>
      <c r="D6" s="5" t="s">
        <v>5</v>
      </c>
      <c r="E6" s="16">
        <v>1</v>
      </c>
      <c r="F6" s="24">
        <v>90000</v>
      </c>
      <c r="G6" s="25">
        <f t="shared" si="0"/>
        <v>10800</v>
      </c>
      <c r="H6" s="14">
        <f t="shared" si="1"/>
        <v>100800</v>
      </c>
    </row>
    <row r="7" spans="2:8" s="3" customFormat="1" ht="48.6" x14ac:dyDescent="0.3">
      <c r="B7" s="6">
        <v>3</v>
      </c>
      <c r="C7" s="23" t="s">
        <v>12</v>
      </c>
      <c r="D7" s="5" t="s">
        <v>5</v>
      </c>
      <c r="E7" s="16">
        <v>1</v>
      </c>
      <c r="F7" s="24">
        <v>85000</v>
      </c>
      <c r="G7" s="25">
        <f t="shared" si="0"/>
        <v>10200</v>
      </c>
      <c r="H7" s="14">
        <f t="shared" si="1"/>
        <v>95200</v>
      </c>
    </row>
    <row r="8" spans="2:8" s="3" customFormat="1" ht="22.5" customHeight="1" x14ac:dyDescent="0.3">
      <c r="B8" s="6">
        <v>6</v>
      </c>
      <c r="C8" s="23" t="s">
        <v>20</v>
      </c>
      <c r="D8" s="5" t="s">
        <v>5</v>
      </c>
      <c r="E8" s="16">
        <v>1</v>
      </c>
      <c r="F8" s="24">
        <v>40000</v>
      </c>
      <c r="G8" s="25">
        <f t="shared" si="0"/>
        <v>4800</v>
      </c>
      <c r="H8" s="14">
        <f t="shared" si="1"/>
        <v>44800</v>
      </c>
    </row>
    <row r="9" spans="2:8" s="3" customFormat="1" ht="28.5" customHeight="1" x14ac:dyDescent="0.3">
      <c r="B9" s="6">
        <v>7</v>
      </c>
      <c r="C9" s="23" t="s">
        <v>19</v>
      </c>
      <c r="D9" s="5" t="s">
        <v>5</v>
      </c>
      <c r="E9" s="16">
        <v>1</v>
      </c>
      <c r="F9" s="24">
        <v>40000</v>
      </c>
      <c r="G9" s="25">
        <f t="shared" si="0"/>
        <v>4800</v>
      </c>
      <c r="H9" s="14">
        <f t="shared" si="1"/>
        <v>44800</v>
      </c>
    </row>
    <row r="10" spans="2:8" s="3" customFormat="1" ht="48.6" x14ac:dyDescent="0.3">
      <c r="B10" s="6">
        <v>8</v>
      </c>
      <c r="C10" s="23" t="s">
        <v>13</v>
      </c>
      <c r="D10" s="5" t="s">
        <v>5</v>
      </c>
      <c r="E10" s="16">
        <v>1</v>
      </c>
      <c r="F10" s="24">
        <v>224000</v>
      </c>
      <c r="G10" s="25">
        <f t="shared" si="0"/>
        <v>26880</v>
      </c>
      <c r="H10" s="14">
        <f t="shared" si="1"/>
        <v>250880</v>
      </c>
    </row>
    <row r="11" spans="2:8" ht="16.2" x14ac:dyDescent="0.3">
      <c r="B11" s="21"/>
      <c r="C11" s="7" t="s">
        <v>4</v>
      </c>
      <c r="D11" s="8"/>
      <c r="E11" s="17">
        <f>SUM(E5:E10)</f>
        <v>6</v>
      </c>
      <c r="F11" s="19">
        <f>SUM(F5:F10)</f>
        <v>613000</v>
      </c>
      <c r="G11" s="26">
        <f>SUM(G5:G10)</f>
        <v>73560</v>
      </c>
      <c r="H11" s="18">
        <f>SUM(H5:H10)</f>
        <v>686560</v>
      </c>
    </row>
    <row r="12" spans="2:8" s="3" customFormat="1" ht="16.2" x14ac:dyDescent="0.35">
      <c r="B12" s="20"/>
      <c r="C12" s="4"/>
      <c r="D12" s="4"/>
      <c r="E12" s="9"/>
      <c r="F12" s="4"/>
      <c r="G12" s="4"/>
    </row>
    <row r="13" spans="2:8" s="3" customFormat="1" ht="16.2" x14ac:dyDescent="0.35">
      <c r="B13" s="20"/>
      <c r="C13" s="34"/>
      <c r="D13" s="34"/>
      <c r="E13" s="34"/>
      <c r="F13" s="34"/>
    </row>
    <row r="14" spans="2:8" s="3" customFormat="1" ht="16.2" x14ac:dyDescent="0.35">
      <c r="B14" s="20"/>
      <c r="C14" s="34"/>
      <c r="D14" s="34"/>
      <c r="E14" s="34"/>
      <c r="F14" s="34"/>
    </row>
    <row r="15" spans="2:8" s="3" customFormat="1" ht="16.2" x14ac:dyDescent="0.35">
      <c r="B15" s="20"/>
      <c r="C15" s="13" t="s">
        <v>14</v>
      </c>
      <c r="D15" s="30"/>
      <c r="E15" s="30"/>
      <c r="F15" s="30"/>
      <c r="G15" s="30"/>
    </row>
    <row r="16" spans="2:8" ht="16.2" x14ac:dyDescent="0.35">
      <c r="B16" s="20"/>
      <c r="C16" s="10" t="s">
        <v>6</v>
      </c>
      <c r="D16" s="30"/>
      <c r="E16" s="30"/>
      <c r="F16" s="30"/>
      <c r="G16" s="30"/>
    </row>
    <row r="17" spans="2:8" ht="16.2" x14ac:dyDescent="0.35">
      <c r="B17" s="20"/>
      <c r="C17" s="35" t="s">
        <v>22</v>
      </c>
      <c r="D17" s="35"/>
      <c r="E17" s="28"/>
      <c r="F17" s="28"/>
      <c r="G17" s="35"/>
      <c r="H17" s="35"/>
    </row>
    <row r="18" spans="2:8" ht="16.2" x14ac:dyDescent="0.35">
      <c r="B18" s="20"/>
      <c r="C18" s="36" t="s">
        <v>23</v>
      </c>
      <c r="D18" s="36"/>
      <c r="E18" s="29"/>
      <c r="F18" s="29" t="s">
        <v>9</v>
      </c>
      <c r="G18" s="36"/>
      <c r="H18" s="36"/>
    </row>
    <row r="19" spans="2:8" ht="16.2" x14ac:dyDescent="0.35">
      <c r="B19" s="20"/>
      <c r="C19" s="35" t="s">
        <v>24</v>
      </c>
      <c r="D19" s="35"/>
      <c r="E19" s="2"/>
      <c r="F19" s="2"/>
      <c r="G19" s="36"/>
      <c r="H19" s="36"/>
    </row>
    <row r="20" spans="2:8" ht="16.2" x14ac:dyDescent="0.35">
      <c r="B20" s="20"/>
      <c r="C20" s="15" t="s">
        <v>15</v>
      </c>
      <c r="D20" s="1"/>
      <c r="E20" s="1"/>
      <c r="F20" s="1"/>
      <c r="G20" s="31"/>
      <c r="H20" s="31"/>
    </row>
    <row r="21" spans="2:8" ht="16.8" thickBot="1" x14ac:dyDescent="0.4">
      <c r="B21" s="20"/>
      <c r="C21" s="15" t="s">
        <v>16</v>
      </c>
      <c r="D21" s="1"/>
      <c r="E21" s="1"/>
      <c r="F21" s="1"/>
      <c r="G21" s="27"/>
    </row>
    <row r="22" spans="2:8" ht="16.2" x14ac:dyDescent="0.35">
      <c r="B22" s="20"/>
      <c r="C22" s="11" t="s">
        <v>17</v>
      </c>
      <c r="D22" s="1"/>
      <c r="E22" s="1"/>
      <c r="F22" s="1"/>
      <c r="G22" s="27"/>
    </row>
    <row r="23" spans="2:8" ht="16.8" thickBot="1" x14ac:dyDescent="0.4">
      <c r="B23" s="20"/>
      <c r="C23" s="12" t="s">
        <v>18</v>
      </c>
      <c r="D23" s="1"/>
      <c r="E23" s="1"/>
      <c r="F23" s="1"/>
      <c r="G23" s="27"/>
    </row>
    <row r="24" spans="2:8" ht="16.2" x14ac:dyDescent="0.35">
      <c r="B24" s="20"/>
      <c r="C24" s="32"/>
      <c r="D24" s="32"/>
      <c r="E24" s="32"/>
      <c r="F24" s="32"/>
    </row>
    <row r="25" spans="2:8" ht="16.2" x14ac:dyDescent="0.35">
      <c r="B25" s="20"/>
      <c r="C25" s="4"/>
      <c r="D25" s="4"/>
      <c r="E25" s="4"/>
      <c r="F25" s="4"/>
      <c r="G25" s="4"/>
    </row>
    <row r="26" spans="2:8" ht="16.2" x14ac:dyDescent="0.35">
      <c r="B26" s="20"/>
      <c r="C26" s="4"/>
      <c r="D26" s="4"/>
      <c r="E26" s="4"/>
      <c r="F26" s="4"/>
      <c r="G26" s="4"/>
    </row>
  </sheetData>
  <pageMargins left="0.51181102362204722" right="0.31496062992125984" top="0.74803149606299213" bottom="0.74803149606299213" header="0.31496062992125984" footer="0.31496062992125984"/>
  <pageSetup paperSize="9" scale="8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Megasoftware GrouP™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Og'abek Sattorov</cp:lastModifiedBy>
  <cp:lastPrinted>2022-02-17T06:29:41Z</cp:lastPrinted>
  <dcterms:created xsi:type="dcterms:W3CDTF">2016-11-01T11:46:10Z</dcterms:created>
  <dcterms:modified xsi:type="dcterms:W3CDTF">2025-12-11T05:42:37Z</dcterms:modified>
</cp:coreProperties>
</file>